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ession Plan" sheetId="2" state="visible" r:id="rId2"/>
    <sheet name="Student Detail" sheetId="3" state="visible" r:id="rId3"/>
    <sheet name="GitHub Audit" sheetId="4" state="visible" r:id="rId4"/>
    <sheet name="Sources" sheetId="5" state="visible" r:id="rId5"/>
  </sheets>
  <definedNames>
    <definedName name="_xlnm._FilterDatabase" localSheetId="1" hidden="1">'Session Plan'!$A$1:$P$8</definedName>
    <definedName name="_xlnm._FilterDatabase" localSheetId="2" hidden="1">'Student Detail'!$A$1:$Q$22</definedName>
    <definedName name="_xlnm._FilterDatabase" localSheetId="3" hidden="1">'GitHub Audit'!$A$1:$I$11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17324D"/>
      <sz val="12"/>
    </font>
    <font>
      <name val="Arial"/>
      <b val="1"/>
      <color rgb="0017324D"/>
      <sz val="10"/>
    </font>
    <font>
      <name val="Arial"/>
      <b val="1"/>
      <color rgb="000F766E"/>
      <sz val="18"/>
    </font>
    <font>
      <name val="Arial"/>
      <i val="1"/>
      <color rgb="00475569"/>
      <sz val="10"/>
    </font>
    <font>
      <name val="Arial"/>
      <b val="1"/>
      <color rgb="00FFFFFF"/>
      <sz val="10"/>
    </font>
    <font>
      <name val="Arial"/>
      <color rgb="000563C1"/>
      <sz val="10"/>
      <u val="single"/>
    </font>
    <font>
      <name val="Arial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9F1F7"/>
      </patternFill>
    </fill>
    <fill>
      <patternFill patternType="solid">
        <fgColor rgb="00E6F4F1"/>
      </patternFill>
    </fill>
    <fill>
      <patternFill patternType="solid">
        <fgColor rgb="00FDECEC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bottom style="hair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165" fontId="8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1" fontId="4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166" fontId="4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166" fontId="8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Số lượng theo loại submission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'Dashboard'!B14</f>
            </strRef>
          </tx>
          <spPr>
            <a:ln>
              <a:prstDash val="solid"/>
            </a:ln>
          </spPr>
          <cat>
            <numRef>
              <f>'Dashboard'!$A$15:$A$19</f>
            </numRef>
          </cat>
          <val>
            <numRef>
              <f>'Dashboard'!$B$15:$B$19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Số học viên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Trạng thái học viên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'Dashboard'!$A$17:$A$19</f>
            </numRef>
          </cat>
          <val>
            <numRef>
              <f>'Dashboard'!$B$17:$B$19</f>
            </numRef>
          </val>
        </ser>
        <dLbls>
          <showPercent val="1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Codex</author>
  </authors>
  <commentList>
    <comment ref="A3" authorId="0" shapeId="0">
      <text>
        <t>Snapshot date supplied by the working environment: 21/10/2026 (Asia/Saigon).</t>
      </text>
    </comment>
    <comment ref="A11" authorId="0" shapeId="0">
      <text>
        <t>Metrics are formula-driven from Student Detail; source values are the Google Sheet snapshot.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30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canva.com/design/DAHVvVwozGA/Uw2CFCAa7H29QgSAVFhykA/edit" TargetMode="External" Id="rId1" /><Relationship Type="http://schemas.openxmlformats.org/officeDocument/2006/relationships/hyperlink" Target="Buoi_1_Blockchain_Fundamentals" TargetMode="External" Id="rId2" /><Relationship Type="http://schemas.openxmlformats.org/officeDocument/2006/relationships/hyperlink" Target="https://youtu.be/6dL1-w_eMMs" TargetMode="External" Id="rId3" /><Relationship Type="http://schemas.openxmlformats.org/officeDocument/2006/relationships/hyperlink" Target="S&#7893; tay Blockchain c&#259;n b&#7843;n | BPSC CLUB" TargetMode="External" Id="rId4" /><Relationship Type="http://schemas.openxmlformats.org/officeDocument/2006/relationships/hyperlink" Target="https://www.canva.com/design/DAHWEnuX1h0/25f2p4NOeeHqyYOSmelSgQ/edit" TargetMode="External" Id="rId5" /><Relationship Type="http://schemas.openxmlformats.org/officeDocument/2006/relationships/hyperlink" Target="Buoi_2_How_Blockchain_Works" TargetMode="External" Id="rId6" /><Relationship Type="http://schemas.openxmlformats.org/officeDocument/2006/relationships/hyperlink" Target="https://canva.link/vakxvr5kn57n9ej" TargetMode="External" Id="rId7" /><Relationship Type="http://schemas.openxmlformats.org/officeDocument/2006/relationships/hyperlink" Target="M&#7853;t m&#227; h&#7885;c v&#224; V&#237; &#273;i&#7879;n t&#7917; &#8211; Bu&#7893;i 02 | BPSC CLUB" TargetMode="External" Id="rId8" /><Relationship Type="http://schemas.openxmlformats.org/officeDocument/2006/relationships/hyperlink" Target="https://canva.link/f8olbameezh6rpo" TargetMode="External" Id="rId9" /><Relationship Type="http://schemas.openxmlformats.org/officeDocument/2006/relationships/hyperlink" Target="C&#417; ch&#7871; &#273;&#7891;ng thu&#7853;n v&#224; Ki&#7871;n tr&#250;c Blockchain &#8211; Bu&#7893;i 04 | BPSC CLUB" TargetMode="External" Id="rId10" /><Relationship Type="http://schemas.openxmlformats.org/officeDocument/2006/relationships/hyperlink" Target="https://canva.link/f9k05ereypryzn8" TargetMode="External" Id="rId11" /><Relationship Type="http://schemas.openxmlformats.org/officeDocument/2006/relationships/hyperlink" Target="bu&#7893;i 5" TargetMode="External" Id="rId12" /><Relationship Type="http://schemas.openxmlformats.org/officeDocument/2006/relationships/hyperlink" Target="https://canva.link/bqe48vrodrubm04" TargetMode="External" Id="rId13" /><Relationship Type="http://schemas.openxmlformats.org/officeDocument/2006/relationships/hyperlink" Target="Bu&#7893;i 6" TargetMode="External" Id="rId14" /><Relationship Type="http://schemas.openxmlformats.org/officeDocument/2006/relationships/hyperlink" Target="TH&#7920;C H&#192;NH" TargetMode="External" Id="rId15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ngocngoc000-jpg/Blockchain-01/blob/main/Session%20-01.md?plain=1" TargetMode="External" Id="rId1" /><Relationship Type="http://schemas.openxmlformats.org/officeDocument/2006/relationships/hyperlink" Target="https://github.com/dhyeu04/dev-lock-bootcamp/blob/main/submissions/session-01.md" TargetMode="External" Id="rId2" /><Relationship Type="http://schemas.openxmlformats.org/officeDocument/2006/relationships/hyperlink" Target="https://github.com/luckylinhle110297-prog/L-Ho-ng-Linh-bootcamp/blob/main/submissions/luckylinhle110297-prog/session-01.md" TargetMode="External" Id="rId3" /><Relationship Type="http://schemas.openxmlformats.org/officeDocument/2006/relationships/hyperlink" Target="https://github.com/AnBinhChu/Bu-i-1-Blockchain-Fundamentals/blob/main/submissions/AnBinhChu/session-01.md" TargetMode="External" Id="rId4" /><Relationship Type="http://schemas.openxmlformats.org/officeDocument/2006/relationships/hyperlink" Target="https://github.com/trghieu03/bootcamp-devlog/blob/main/submissions/trghieu03/session-01.md" TargetMode="External" Id="rId5" /><Relationship Type="http://schemas.openxmlformats.org/officeDocument/2006/relationships/hyperlink" Target="https://github.com/huoniie/dev-lock-bootcamp/blob/main/submissions/session-01.md" TargetMode="External" Id="rId6" /><Relationship Type="http://schemas.openxmlformats.org/officeDocument/2006/relationships/hyperlink" Target="https://github.com/MynameisHiu/Dev-Log-bootcamp/blob/main/submissions/MynameisHiu/session-01.md" TargetMode="External" Id="rId7" /><Relationship Type="http://schemas.openxmlformats.org/officeDocument/2006/relationships/hyperlink" Target="https://github.com/dainx06/dev-lock-bootcamp/blob/main/submissions/dainx06/session-01.md" TargetMode="External" Id="rId8" /><Relationship Type="http://schemas.openxmlformats.org/officeDocument/2006/relationships/hyperlink" Target="https://github.com/Tuan2K7/dev-lock-bootcamp.git" TargetMode="External" Id="rId9" /><Relationship Type="http://schemas.openxmlformats.org/officeDocument/2006/relationships/hyperlink" Target="https://github.com/khanhnguyeenx-vie/dev-lock-bootcamp/blob/main/submissions/khanhnguyeenx-vie/session-01.md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ngocngoc000-jpg/Blockchain-01/blob/main/Session%20-01.md?plain=1" TargetMode="External" Id="rId1" /><Relationship Type="http://schemas.openxmlformats.org/officeDocument/2006/relationships/hyperlink" Target="https://github.com/dhyeu04/dev-lock-bootcamp/blob/main/submissions/session-01.md" TargetMode="External" Id="rId2" /><Relationship Type="http://schemas.openxmlformats.org/officeDocument/2006/relationships/hyperlink" Target="https://github.com/luckylinhle110297-prog/L-Ho-ng-Linh-bootcamp/blob/main/submissions/luckylinhle110297-prog/session-01.md" TargetMode="External" Id="rId3" /><Relationship Type="http://schemas.openxmlformats.org/officeDocument/2006/relationships/hyperlink" Target="https://github.com/AnBinhChu/Bu-i-1-Blockchain-Fundamentals/blob/main/submissions/AnBinhChu/session-01.md" TargetMode="External" Id="rId4" /><Relationship Type="http://schemas.openxmlformats.org/officeDocument/2006/relationships/hyperlink" Target="https://github.com/trghieu03/bootcamp-devlog/blob/main/submissions/trghieu03/session-01.md" TargetMode="External" Id="rId5" /><Relationship Type="http://schemas.openxmlformats.org/officeDocument/2006/relationships/hyperlink" Target="https://github.com/huoniie/dev-lock-bootcamp/blob/main/submissions/session-01.md" TargetMode="External" Id="rId6" /><Relationship Type="http://schemas.openxmlformats.org/officeDocument/2006/relationships/hyperlink" Target="https://github.com/MynameisHiu/Dev-Log-bootcamp/blob/main/submissions/MynameisHiu/session-01.md" TargetMode="External" Id="rId7" /><Relationship Type="http://schemas.openxmlformats.org/officeDocument/2006/relationships/hyperlink" Target="https://github.com/dainx06/dev-lock-bootcamp/blob/main/submissions/dainx06/session-01.md" TargetMode="External" Id="rId8" /><Relationship Type="http://schemas.openxmlformats.org/officeDocument/2006/relationships/hyperlink" Target="https://github.com/Tuan2K7/dev-lock-bootcamp.git" TargetMode="External" Id="rId9" /><Relationship Type="http://schemas.openxmlformats.org/officeDocument/2006/relationships/hyperlink" Target="https://github.com/khanhnguyeenx-vie/dev-lock-bootcamp/blob/main/submissions/khanhnguyeenx-vie/session-01.md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docs.google.com/spreadsheets/d/1HKSoMEhSCYqL6Py5u5LB1rrh9yxlXRT-vgjRrb2HBW8/edit?gid=1890794766" TargetMode="External" Id="rId1" /><Relationship Type="http://schemas.openxmlformats.org/officeDocument/2006/relationships/hyperlink" Target="https://github.com/Blockchain-Pioneer-Student/BCP1-Devlog-Summarize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4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BCP1 BOOTCAMP | DEVLOG &amp; GITHUB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Snapshot dữ liệu</t>
        </is>
      </c>
      <c r="B3" s="4" t="n">
        <v>46316</v>
      </c>
      <c r="C3" s="3" t="n"/>
      <c r="D3" s="3" t="inlineStr">
        <is>
          <t>Nguồn chính</t>
        </is>
      </c>
      <c r="E3" s="3" t="inlineStr">
        <is>
          <t>Google Sheet + GitHub</t>
        </is>
      </c>
      <c r="F3" s="3" t="n"/>
      <c r="G3" s="3" t="n"/>
      <c r="H3" s="3" t="n"/>
    </row>
    <row r="4">
      <c r="A4" s="5" t="inlineStr">
        <is>
          <t>KPI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6" t="inlineStr">
        <is>
          <t>Tổng học viên</t>
        </is>
      </c>
      <c r="B5" s="7" t="n"/>
      <c r="C5" s="6" t="inlineStr">
        <is>
          <t>Devlog đã nộp</t>
        </is>
      </c>
      <c r="D5" s="7" t="n"/>
      <c r="E5" s="6" t="inlineStr">
        <is>
          <t>GitHub đã nộp</t>
        </is>
      </c>
      <c r="F5" s="7" t="n"/>
      <c r="G5" s="6" t="inlineStr">
        <is>
          <t>Nộp đủ cả hai</t>
        </is>
      </c>
      <c r="H5" s="7" t="n"/>
    </row>
    <row r="6">
      <c r="A6" s="8">
        <f>COUNTA('Student Detail'!$A$2:$A$22)</f>
        <v/>
      </c>
      <c r="B6" s="9" t="n"/>
      <c r="C6" s="8">
        <f>COUNTIF('Student Detail'!$E$2:$E$22,"Yes")</f>
        <v/>
      </c>
      <c r="D6" s="9" t="n"/>
      <c r="E6" s="8">
        <f>COUNTIF('Student Detail'!$F$2:$F$22,"Yes")</f>
        <v/>
      </c>
      <c r="F6" s="9" t="n"/>
      <c r="G6" s="8">
        <f>COUNTIF('Student Detail'!$H$2:$H$22,"Devlog + GitHub")</f>
        <v/>
      </c>
      <c r="H6" s="9" t="n"/>
    </row>
    <row r="7">
      <c r="A7" s="6" t="inlineStr">
        <is>
          <t>Devlog only</t>
        </is>
      </c>
      <c r="B7" s="7" t="n"/>
      <c r="C7" s="6" t="inlineStr">
        <is>
          <t>Chưa nộp</t>
        </is>
      </c>
      <c r="D7" s="7" t="n"/>
      <c r="E7" s="6" t="inlineStr">
        <is>
          <t>Tỷ lệ artifact</t>
        </is>
      </c>
      <c r="F7" s="7" t="n"/>
      <c r="G7" s="6" t="inlineStr">
        <is>
          <t>TB hoàn thành/người</t>
        </is>
      </c>
      <c r="H7" s="7" t="n"/>
    </row>
    <row r="8">
      <c r="A8" s="8">
        <f>COUNTIF('Student Detail'!$H$2:$H$22,"Devlog only")</f>
        <v/>
      </c>
      <c r="B8" s="9" t="n"/>
      <c r="C8" s="8">
        <f>COUNTIF('Student Detail'!$H$2:$H$22,"No submission")</f>
        <v/>
      </c>
      <c r="D8" s="9" t="n"/>
      <c r="E8" s="10">
        <f>(COUNTIF('Student Detail'!$E$2:$E$22,"Yes")+COUNTIF('Student Detail'!$F$2:$F$22,"Yes"))/(COUNTA('Student Detail'!$A$2:$A$22)*2)</f>
        <v/>
      </c>
      <c r="F8" s="9" t="n"/>
      <c r="G8" s="10">
        <f>AVERAGE('Student Detail'!$G$2:$G$22)</f>
        <v/>
      </c>
      <c r="H8" s="9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5" t="inlineStr">
        <is>
          <t>Diễn giải</t>
        </is>
      </c>
      <c r="B10" s="3" t="n"/>
      <c r="C10" s="3" t="n"/>
      <c r="D10" s="3" t="n"/>
      <c r="E10" s="3" t="n"/>
      <c r="F10" s="3" t="n"/>
      <c r="G10" s="3" t="n"/>
      <c r="H10" s="3" t="n"/>
    </row>
    <row r="11">
      <c r="A11" s="11" t="inlineStr">
        <is>
          <t>Tỷ lệ artifact = (số devlog + số link GitHub) / (số học viên × 2). Sessions 2–7 chưa có cột submission được điền trong snapshot.</t>
        </is>
      </c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5" t="inlineStr">
        <is>
          <t>Biểu đồ nộp bài</t>
        </is>
      </c>
      <c r="B13" s="3" t="n"/>
      <c r="C13" s="3" t="n"/>
      <c r="D13" s="3" t="n"/>
      <c r="E13" s="3" t="n"/>
      <c r="F13" s="3" t="n"/>
      <c r="G13" s="3" t="n"/>
      <c r="H13" s="3" t="n"/>
    </row>
    <row r="14">
      <c r="A14" s="12" t="inlineStr">
        <is>
          <t>Loại</t>
        </is>
      </c>
      <c r="B14" s="12" t="inlineStr">
        <is>
          <t>Số lượng</t>
        </is>
      </c>
      <c r="C14" s="12" t="inlineStr">
        <is>
          <t>Tỷ lệ</t>
        </is>
      </c>
      <c r="D14" s="3" t="n"/>
      <c r="E14" s="3" t="n"/>
      <c r="F14" s="3" t="n"/>
      <c r="G14" s="3" t="n"/>
      <c r="H14" s="3" t="n"/>
    </row>
    <row r="15">
      <c r="A15" s="3" t="inlineStr">
        <is>
          <t>Devlog</t>
        </is>
      </c>
      <c r="B15" s="3">
        <f>COUNTIF('Student Detail'!$E$2:$E$22,"Yes")</f>
        <v/>
      </c>
      <c r="C15" s="13">
        <f>B15/$B$5</f>
        <v/>
      </c>
      <c r="D15" s="3" t="n"/>
      <c r="E15" s="3" t="n"/>
      <c r="F15" s="3" t="n"/>
      <c r="G15" s="3" t="n"/>
      <c r="H15" s="3" t="n"/>
    </row>
    <row r="16">
      <c r="A16" s="3" t="inlineStr">
        <is>
          <t>GitHub</t>
        </is>
      </c>
      <c r="B16" s="3">
        <f>COUNTIF('Student Detail'!$F$2:$F$22,"Yes")</f>
        <v/>
      </c>
      <c r="C16" s="13">
        <f>B16/$B$5</f>
        <v/>
      </c>
      <c r="D16" s="3" t="n"/>
      <c r="E16" s="3" t="n"/>
      <c r="F16" s="3" t="n"/>
      <c r="G16" s="3" t="n"/>
      <c r="H16" s="3" t="n"/>
    </row>
    <row r="17">
      <c r="A17" s="3" t="inlineStr">
        <is>
          <t>Nộp đủ cả hai</t>
        </is>
      </c>
      <c r="B17" s="3">
        <f>COUNTIF('Student Detail'!$H$2:$H$22,"Devlog + GitHub")</f>
        <v/>
      </c>
      <c r="C17" s="13">
        <f>B17/$B$5</f>
        <v/>
      </c>
      <c r="D17" s="3" t="n"/>
      <c r="E17" s="3" t="n"/>
      <c r="F17" s="3" t="n"/>
      <c r="G17" s="3" t="n"/>
      <c r="H17" s="3" t="n"/>
    </row>
    <row r="18">
      <c r="A18" s="3" t="inlineStr">
        <is>
          <t>Devlog only</t>
        </is>
      </c>
      <c r="B18" s="3">
        <f>COUNTIF('Student Detail'!$H$2:$H$22,"Devlog only")</f>
        <v/>
      </c>
      <c r="C18" s="13">
        <f>B18/$B$5</f>
        <v/>
      </c>
      <c r="D18" s="3" t="n"/>
      <c r="E18" s="3" t="n"/>
      <c r="F18" s="3" t="n"/>
      <c r="G18" s="3" t="n"/>
      <c r="H18" s="3" t="n"/>
    </row>
    <row r="19">
      <c r="A19" s="3" t="inlineStr">
        <is>
          <t>Chưa nộp</t>
        </is>
      </c>
      <c r="B19" s="3">
        <f>COUNTIF('Student Detail'!$H$2:$H$22,"No submission")</f>
        <v/>
      </c>
      <c r="C19" s="13">
        <f>B19/$B$5</f>
        <v/>
      </c>
      <c r="D19" s="3" t="n"/>
      <c r="E19" s="3" t="n"/>
      <c r="F19" s="3" t="n"/>
      <c r="G19" s="3" t="n"/>
      <c r="H19" s="3" t="n"/>
    </row>
  </sheetData>
  <mergeCells count="18">
    <mergeCell ref="E6:F6"/>
    <mergeCell ref="C6:D6"/>
    <mergeCell ref="C7:D7"/>
    <mergeCell ref="A7:B7"/>
    <mergeCell ref="G7:H7"/>
    <mergeCell ref="E7:F7"/>
    <mergeCell ref="E8:F8"/>
    <mergeCell ref="C5:D5"/>
    <mergeCell ref="A5:B5"/>
    <mergeCell ref="G5:H5"/>
    <mergeCell ref="E5:F5"/>
    <mergeCell ref="A11:H11"/>
    <mergeCell ref="G6:H6"/>
    <mergeCell ref="G8:H8"/>
    <mergeCell ref="A1:H2"/>
    <mergeCell ref="A8:B8"/>
    <mergeCell ref="A6:B6"/>
    <mergeCell ref="C8:D8"/>
  </mergeCells>
  <pageMargins left="0.75" right="0.75" top="1" bottom="1" header="0.5" footer="0.5"/>
  <pageSetup fitToHeight="0" fitToWidth="1"/>
  <headerFooter>
    <oddHeader/>
    <oddFooter>&amp;CBCP1 Bootcamp | Snapshot 21/10/2026&amp;RTrang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8" customWidth="1" min="3" max="3"/>
    <col width="18" customWidth="1" min="4" max="4"/>
    <col width="12" customWidth="1" min="5" max="5"/>
    <col width="13" customWidth="1" min="6" max="6"/>
    <col width="12" customWidth="1" min="7" max="7"/>
    <col width="42" customWidth="1" min="8" max="8"/>
    <col width="34" customWidth="1" min="9" max="9"/>
    <col width="30" customWidth="1" min="10" max="10"/>
    <col width="30" customWidth="1" min="11" max="11"/>
    <col width="22" customWidth="1" min="12" max="12"/>
    <col width="12" customWidth="1" min="13" max="13"/>
    <col width="12" customWidth="1" min="14" max="14"/>
    <col width="15" customWidth="1" min="15" max="15"/>
    <col width="28" customWidth="1" min="16" max="16"/>
  </cols>
  <sheetData>
    <row r="1">
      <c r="A1" s="12" t="inlineStr">
        <is>
          <t>Buổi</t>
        </is>
      </c>
      <c r="B1" s="12" t="inlineStr">
        <is>
          <t>Chủ đề</t>
        </is>
      </c>
      <c r="C1" s="12" t="inlineStr">
        <is>
          <t>Nội dung chính</t>
        </is>
      </c>
      <c r="D1" s="12" t="inlineStr">
        <is>
          <t>Người trình bày</t>
        </is>
      </c>
      <c r="E1" s="12" t="inlineStr">
        <is>
          <t>Hình thức</t>
        </is>
      </c>
      <c r="F1" s="12" t="inlineStr">
        <is>
          <t>Thời gian</t>
        </is>
      </c>
      <c r="G1" s="12" t="inlineStr">
        <is>
          <t>Trạng thái</t>
        </is>
      </c>
      <c r="H1" s="12" t="inlineStr">
        <is>
          <t>Slide</t>
        </is>
      </c>
      <c r="I1" s="12" t="inlineStr">
        <is>
          <t>Docs</t>
        </is>
      </c>
      <c r="J1" s="12" t="inlineStr">
        <is>
          <t>Youtube</t>
        </is>
      </c>
      <c r="K1" s="12" t="inlineStr">
        <is>
          <t>Handbook</t>
        </is>
      </c>
      <c r="L1" s="12" t="inlineStr">
        <is>
          <t>Dữ liệu submission</t>
        </is>
      </c>
      <c r="M1" s="12" t="inlineStr">
        <is>
          <t>Devlog nộp</t>
        </is>
      </c>
      <c r="N1" s="12" t="inlineStr">
        <is>
          <t>GitHub nộp</t>
        </is>
      </c>
      <c r="O1" s="12" t="inlineStr">
        <is>
          <t>Tỷ lệ artifact</t>
        </is>
      </c>
      <c r="P1" s="12" t="inlineStr">
        <is>
          <t>Diễn giải</t>
        </is>
      </c>
    </row>
    <row r="2">
      <c r="A2" s="3" t="n">
        <v>1</v>
      </c>
      <c r="B2" s="3" t="inlineStr">
        <is>
          <t>Blockchain Fundamentals</t>
        </is>
      </c>
      <c r="C2" s="3" t="inlineStr">
        <is>
          <t>What is Blockchain? Centralized vs Decentralized Bitcoin ra đời để giải quyết vấn đề gì? Ethereum mở rộng blockchain như thế nào? Blockchain Benefits &amp; Use Cases</t>
        </is>
      </c>
      <c r="D2" s="3" t="inlineStr">
        <is>
          <t>Hoang Phong</t>
        </is>
      </c>
      <c r="E2" s="3" t="inlineStr">
        <is>
          <t>Discord</t>
        </is>
      </c>
      <c r="F2" s="3" t="inlineStr">
        <is>
          <t>14/10/2026</t>
        </is>
      </c>
      <c r="G2" s="3" t="inlineStr">
        <is>
          <t>START</t>
        </is>
      </c>
      <c r="H2" s="14" t="inlineStr">
        <is>
          <t>https://www.canva.com/design/DAHVvVwozGA/Uw2CFCAa7H29QgSAVFhykA/edit</t>
        </is>
      </c>
      <c r="I2" s="14" t="inlineStr">
        <is>
          <t>Buoi_1_Blockchain_Fundamentals</t>
        </is>
      </c>
      <c r="J2" s="14" t="inlineStr">
        <is>
          <t>https://youtu.be/6dL1-w_eMMs</t>
        </is>
      </c>
      <c r="K2" s="14" t="inlineStr">
        <is>
          <t>Sổ tay Blockchain căn bản | BPSC CLUB</t>
        </is>
      </c>
      <c r="L2" s="3" t="inlineStr">
        <is>
          <t>Có dữ liệu Buổi 1</t>
        </is>
      </c>
      <c r="M2" s="3">
        <f>COUNTIF('Student Detail'!$E$2:$E$22,"Yes")</f>
        <v/>
      </c>
      <c r="N2" s="3">
        <f>COUNTIF('Student Detail'!$F$2:$F$22,"Yes")</f>
        <v/>
      </c>
      <c r="O2" s="13">
        <f>(M2+N2)/(COUNTA('Student Detail'!$A$2:$A$22)*2)</f>
        <v/>
      </c>
      <c r="P2" s="3" t="inlineStr">
        <is>
          <t>Observed in snapshot</t>
        </is>
      </c>
    </row>
    <row r="3">
      <c r="A3" s="3" t="n">
        <v>2</v>
      </c>
      <c r="B3" s="3" t="inlineStr">
        <is>
          <t>How Blockchain Works</t>
        </is>
      </c>
      <c r="C3" s="3" t="inlineStr">
        <is>
          <t>Block &amp; Blockchain Structure Transaction là gì? Ledger / State Nodes &amp; P2P Network Transaction Lifecycle Blockchain Explorer</t>
        </is>
      </c>
      <c r="D3" s="3" t="inlineStr">
        <is>
          <t>Hoang Phong</t>
        </is>
      </c>
      <c r="E3" s="3" t="inlineStr">
        <is>
          <t>Discord</t>
        </is>
      </c>
      <c r="F3" s="3" t="inlineStr">
        <is>
          <t>21/10/2026</t>
        </is>
      </c>
      <c r="G3" s="3" t="inlineStr">
        <is>
          <t>START</t>
        </is>
      </c>
      <c r="H3" s="14" t="inlineStr">
        <is>
          <t>https://www.canva.com/design/DAHWEnuX1h0/25f2p4NOeeHqyYOSmelSgQ/edit</t>
        </is>
      </c>
      <c r="I3" s="14" t="inlineStr">
        <is>
          <t>Buoi_2_How_Blockchain_Works</t>
        </is>
      </c>
      <c r="J3" s="3" t="inlineStr"/>
      <c r="K3" s="3" t="inlineStr"/>
      <c r="L3" s="3" t="inlineStr">
        <is>
          <t>Chưa có trong snapshot</t>
        </is>
      </c>
      <c r="M3" s="3" t="inlineStr">
        <is>
          <t>—</t>
        </is>
      </c>
      <c r="N3" s="3" t="inlineStr">
        <is>
          <t>—</t>
        </is>
      </c>
      <c r="O3" s="3" t="inlineStr">
        <is>
          <t>—</t>
        </is>
      </c>
      <c r="P3" s="3" t="inlineStr">
        <is>
          <t>Chưa có trong snapshot</t>
        </is>
      </c>
    </row>
    <row r="4">
      <c r="A4" s="3" t="n">
        <v>3</v>
      </c>
      <c r="B4" s="3" t="inlineStr">
        <is>
          <t>Cryptography &amp; Wallet</t>
        </is>
      </c>
      <c r="C4" s="3" t="inlineStr">
        <is>
          <t>Hashing Public Key / Private Key Digital Signature Wallet &amp; Address Seed Phrase Custodial vs Non-custodial Wallet Basic Wallet Security</t>
        </is>
      </c>
      <c r="D4" s="3" t="inlineStr">
        <is>
          <t>Ngô Văn Tuân</t>
        </is>
      </c>
      <c r="E4" s="3" t="inlineStr">
        <is>
          <t>Discord</t>
        </is>
      </c>
      <c r="F4" s="3" t="inlineStr"/>
      <c r="G4" s="3" t="inlineStr">
        <is>
          <t>START</t>
        </is>
      </c>
      <c r="H4" s="14" t="inlineStr">
        <is>
          <t>https://canva.link/vakxvr5kn57n9ej</t>
        </is>
      </c>
      <c r="I4" s="14" t="inlineStr">
        <is>
          <t>Mật mã học và Ví điện tử – Buổi 02 | BPSC CLUB</t>
        </is>
      </c>
      <c r="J4" s="3" t="inlineStr"/>
      <c r="K4" s="3" t="inlineStr"/>
      <c r="L4" s="3" t="inlineStr">
        <is>
          <t>Chưa có trong snapshot</t>
        </is>
      </c>
      <c r="M4" s="3" t="inlineStr">
        <is>
          <t>—</t>
        </is>
      </c>
      <c r="N4" s="3" t="inlineStr">
        <is>
          <t>—</t>
        </is>
      </c>
      <c r="O4" s="3" t="inlineStr">
        <is>
          <t>—</t>
        </is>
      </c>
      <c r="P4" s="3" t="inlineStr">
        <is>
          <t>Chưa có trong snapshot</t>
        </is>
      </c>
    </row>
    <row r="5">
      <c r="A5" s="3" t="n">
        <v>4</v>
      </c>
      <c r="B5" s="3" t="inlineStr">
        <is>
          <t>Consensus &amp; Blockchain Architecture</t>
        </is>
      </c>
      <c r="C5" s="3" t="inlineStr">
        <is>
          <t>Consensus là gì? Proof of Work / Proof of Stake Finality Layer 1 / Layer 2 Account-based vs UTXO Public / Private / Permissioned Blockchain</t>
        </is>
      </c>
      <c r="D5" s="3" t="inlineStr">
        <is>
          <t>Ngô Văn Tuân</t>
        </is>
      </c>
      <c r="E5" s="3" t="inlineStr">
        <is>
          <t>Discord</t>
        </is>
      </c>
      <c r="F5" s="3" t="inlineStr"/>
      <c r="G5" s="3" t="inlineStr">
        <is>
          <t>START</t>
        </is>
      </c>
      <c r="H5" s="14" t="inlineStr">
        <is>
          <t>https://canva.link/f8olbameezh6rpo</t>
        </is>
      </c>
      <c r="I5" s="14" t="inlineStr">
        <is>
          <t>Cơ chế đồng thuận và Kiến trúc Blockchain – Buổi 04 | BPSC CLUB</t>
        </is>
      </c>
      <c r="J5" s="3" t="inlineStr"/>
      <c r="K5" s="3" t="inlineStr"/>
      <c r="L5" s="3" t="inlineStr">
        <is>
          <t>Chưa có trong snapshot</t>
        </is>
      </c>
      <c r="M5" s="3" t="inlineStr">
        <is>
          <t>—</t>
        </is>
      </c>
      <c r="N5" s="3" t="inlineStr">
        <is>
          <t>—</t>
        </is>
      </c>
      <c r="O5" s="3" t="inlineStr">
        <is>
          <t>—</t>
        </is>
      </c>
      <c r="P5" s="3" t="inlineStr">
        <is>
          <t>Chưa có trong snapshot</t>
        </is>
      </c>
    </row>
    <row r="6">
      <c r="A6" s="3" t="n">
        <v>5</v>
      </c>
      <c r="B6" s="3" t="inlineStr">
        <is>
          <t>Smart Contracts &amp; Digital Assets</t>
        </is>
      </c>
      <c r="C6" s="3" t="inlineStr">
        <is>
          <t>Smart Contract là gì? Native Coin vs Token Mint / Burn Stablecoin NFT Gas / Transaction Fee EVM / SVM / WASM ở mức giới thiệu</t>
        </is>
      </c>
      <c r="D6" s="3" t="inlineStr">
        <is>
          <t>Trần Hữu Hưng</t>
        </is>
      </c>
      <c r="E6" s="3" t="inlineStr">
        <is>
          <t>Discord</t>
        </is>
      </c>
      <c r="F6" s="3" t="inlineStr"/>
      <c r="G6" s="3" t="inlineStr">
        <is>
          <t>START</t>
        </is>
      </c>
      <c r="H6" s="14" t="inlineStr">
        <is>
          <t>https://canva.link/f9k05ereypryzn8</t>
        </is>
      </c>
      <c r="I6" s="14" t="inlineStr">
        <is>
          <t>buổi 5</t>
        </is>
      </c>
      <c r="J6" s="3" t="inlineStr"/>
      <c r="K6" s="3" t="inlineStr"/>
      <c r="L6" s="3" t="inlineStr">
        <is>
          <t>Chưa có trong snapshot</t>
        </is>
      </c>
      <c r="M6" s="3" t="inlineStr">
        <is>
          <t>—</t>
        </is>
      </c>
      <c r="N6" s="3" t="inlineStr">
        <is>
          <t>—</t>
        </is>
      </c>
      <c r="O6" s="3" t="inlineStr">
        <is>
          <t>—</t>
        </is>
      </c>
      <c r="P6" s="3" t="inlineStr">
        <is>
          <t>Chưa có trong snapshot</t>
        </is>
      </c>
    </row>
    <row r="7">
      <c r="A7" s="3" t="n">
        <v>6</v>
      </c>
      <c r="B7" s="3" t="inlineStr">
        <is>
          <t>DApps &amp; Web3 Ecosystem</t>
        </is>
      </c>
      <c r="C7" s="3" t="inlineStr">
        <is>
          <t>dApp Architecture Frontend → Wallet → Smart Contract → Blockchain DeFi Payment NFT Gaming DAO Oracle ở mức giới thiệu Mini Demo trên Testnet</t>
        </is>
      </c>
      <c r="D7" s="3" t="inlineStr">
        <is>
          <t>Trần Hữu Hưng</t>
        </is>
      </c>
      <c r="E7" s="3" t="inlineStr">
        <is>
          <t>Discord</t>
        </is>
      </c>
      <c r="F7" s="3" t="inlineStr"/>
      <c r="G7" s="3" t="inlineStr">
        <is>
          <t>START</t>
        </is>
      </c>
      <c r="H7" s="14" t="inlineStr">
        <is>
          <t>https://canva.link/bqe48vrodrubm04</t>
        </is>
      </c>
      <c r="I7" s="14" t="inlineStr">
        <is>
          <t>Buổi 6</t>
        </is>
      </c>
      <c r="J7" s="3" t="inlineStr"/>
      <c r="K7" s="3" t="inlineStr"/>
      <c r="L7" s="3" t="inlineStr">
        <is>
          <t>Chưa có trong snapshot</t>
        </is>
      </c>
      <c r="M7" s="3" t="inlineStr">
        <is>
          <t>—</t>
        </is>
      </c>
      <c r="N7" s="3" t="inlineStr">
        <is>
          <t>—</t>
        </is>
      </c>
      <c r="O7" s="3" t="inlineStr">
        <is>
          <t>—</t>
        </is>
      </c>
      <c r="P7" s="3" t="inlineStr">
        <is>
          <t>Chưa có trong snapshot</t>
        </is>
      </c>
    </row>
    <row r="8">
      <c r="A8" s="3" t="n">
        <v>7</v>
      </c>
      <c r="B8" s="3" t="inlineStr">
        <is>
          <t>Practice + AMA</t>
        </is>
      </c>
      <c r="C8" s="3" t="inlineStr">
        <is>
          <t>Tạo ví testnet Nhận token faucet Gửi transaction Xem transaction trên Explorer Connect wallet vào một dApp đơn giản Recap + Q&amp;A + giới thiệu Phase 2</t>
        </is>
      </c>
      <c r="D8" s="3" t="inlineStr">
        <is>
          <t>Cả 3</t>
        </is>
      </c>
      <c r="E8" s="3" t="inlineStr">
        <is>
          <t>Discord</t>
        </is>
      </c>
      <c r="F8" s="3" t="inlineStr"/>
      <c r="G8" s="3" t="inlineStr">
        <is>
          <t>START</t>
        </is>
      </c>
      <c r="H8" s="14" t="inlineStr">
        <is>
          <t>THỰC HÀNH</t>
        </is>
      </c>
      <c r="I8" s="3" t="inlineStr"/>
      <c r="J8" s="3" t="inlineStr"/>
      <c r="K8" s="3" t="inlineStr"/>
      <c r="L8" s="3" t="inlineStr">
        <is>
          <t>Chưa có trong snapshot</t>
        </is>
      </c>
      <c r="M8" s="3" t="inlineStr">
        <is>
          <t>—</t>
        </is>
      </c>
      <c r="N8" s="3" t="inlineStr">
        <is>
          <t>—</t>
        </is>
      </c>
      <c r="O8" s="3" t="inlineStr">
        <is>
          <t>—</t>
        </is>
      </c>
      <c r="P8" s="3" t="inlineStr">
        <is>
          <t>Chưa có trong snapshot</t>
        </is>
      </c>
    </row>
  </sheetData>
  <autoFilter ref="A1:P8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K2" r:id="rId4"/>
    <hyperlink xmlns:r="http://schemas.openxmlformats.org/officeDocument/2006/relationships" ref="H3" r:id="rId5"/>
    <hyperlink xmlns:r="http://schemas.openxmlformats.org/officeDocument/2006/relationships" ref="I3" r:id="rId6"/>
    <hyperlink xmlns:r="http://schemas.openxmlformats.org/officeDocument/2006/relationships" ref="H4" r:id="rId7"/>
    <hyperlink xmlns:r="http://schemas.openxmlformats.org/officeDocument/2006/relationships" ref="I4" r:id="rId8"/>
    <hyperlink xmlns:r="http://schemas.openxmlformats.org/officeDocument/2006/relationships" ref="H5" r:id="rId9"/>
    <hyperlink xmlns:r="http://schemas.openxmlformats.org/officeDocument/2006/relationships" ref="I5" r:id="rId10"/>
    <hyperlink xmlns:r="http://schemas.openxmlformats.org/officeDocument/2006/relationships" ref="H6" r:id="rId11"/>
    <hyperlink xmlns:r="http://schemas.openxmlformats.org/officeDocument/2006/relationships" ref="I6" r:id="rId12"/>
    <hyperlink xmlns:r="http://schemas.openxmlformats.org/officeDocument/2006/relationships" ref="H7" r:id="rId13"/>
    <hyperlink xmlns:r="http://schemas.openxmlformats.org/officeDocument/2006/relationships" ref="I7" r:id="rId14"/>
    <hyperlink xmlns:r="http://schemas.openxmlformats.org/officeDocument/2006/relationships" ref="H8" r:id="rId15"/>
  </hyperlinks>
  <pageMargins left="0.75" right="0.75" top="1" bottom="1" header="0.5" footer="0.5"/>
  <pageSetup fitToHeight="0" fitToWidth="1"/>
  <headerFooter>
    <oddHeader/>
    <oddFooter>&amp;CBCP1 Bootcamp | Snapshot 21/10/2026&amp;RTrang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8" customWidth="1" min="3" max="3"/>
    <col width="54" customWidth="1" min="4" max="4"/>
    <col width="10" customWidth="1" min="5" max="5"/>
    <col width="10" customWidth="1" min="6" max="6"/>
    <col width="15" customWidth="1" min="7" max="7"/>
    <col width="20" customWidth="1" min="8" max="8"/>
    <col width="58" customWidth="1" min="9" max="9"/>
    <col width="32" customWidth="1" min="10" max="10"/>
    <col width="16" customWidth="1" min="11" max="11"/>
    <col width="13" customWidth="1" min="12" max="12"/>
    <col width="14" customWidth="1" min="13" max="13"/>
    <col width="19" customWidth="1" min="14" max="14"/>
    <col width="20" customWidth="1" min="15" max="15"/>
    <col width="32" customWidth="1" min="16" max="16"/>
    <col width="42" customWidth="1" min="17" max="17"/>
  </cols>
  <sheetData>
    <row r="1">
      <c r="A1" s="12" t="inlineStr">
        <is>
          <t>STT</t>
        </is>
      </c>
      <c r="B1" s="12" t="inlineStr">
        <is>
          <t>Họ và tên</t>
        </is>
      </c>
      <c r="C1" s="12" t="inlineStr">
        <is>
          <t>Discord</t>
        </is>
      </c>
      <c r="D1" s="12" t="inlineStr">
        <is>
          <t>Devlog ghi trong Sheet</t>
        </is>
      </c>
      <c r="E1" s="12" t="inlineStr">
        <is>
          <t>Devlog</t>
        </is>
      </c>
      <c r="F1" s="12" t="inlineStr">
        <is>
          <t>GitHub</t>
        </is>
      </c>
      <c r="G1" s="12" t="inlineStr">
        <is>
          <t>Tỷ lệ hoàn thành</t>
        </is>
      </c>
      <c r="H1" s="12" t="inlineStr">
        <is>
          <t>Trạng thái</t>
        </is>
      </c>
      <c r="I1" s="12" t="inlineStr">
        <is>
          <t>Link GitHub</t>
        </is>
      </c>
      <c r="J1" s="12" t="inlineStr">
        <is>
          <t>Repo</t>
        </is>
      </c>
      <c r="K1" s="12" t="inlineStr">
        <is>
          <t>Phạm vi bằng chứng</t>
        </is>
      </c>
      <c r="L1" s="12" t="inlineStr">
        <is>
          <t>Kiểm tra file</t>
        </is>
      </c>
      <c r="M1" s="12" t="inlineStr">
        <is>
          <t>Commit quan sát</t>
        </is>
      </c>
      <c r="N1" s="12" t="inlineStr">
        <is>
          <t>Commit đầu (GMT+7)</t>
        </is>
      </c>
      <c r="O1" s="12" t="inlineStr">
        <is>
          <t>Commit mới nhất (GMT+7)</t>
        </is>
      </c>
      <c r="P1" s="12" t="inlineStr">
        <is>
          <t>Thông điệp commit mới nhất</t>
        </is>
      </c>
      <c r="Q1" s="12" t="inlineStr">
        <is>
          <t>Ghi chú</t>
        </is>
      </c>
    </row>
    <row r="2">
      <c r="A2" s="3" t="n">
        <v>1</v>
      </c>
      <c r="B2" s="3" t="inlineStr">
        <is>
          <t>Lê Ngọc</t>
        </is>
      </c>
      <c r="C2" s="3" t="inlineStr">
        <is>
          <t>Ngocngoc</t>
        </is>
      </c>
      <c r="D2" s="3" t="inlineStr">
        <is>
          <t>-Giải thích được lý do tại sao blockchain ra đời . -Biết được các mặt ưu nhược điểm của bitcoin.</t>
        </is>
      </c>
      <c r="E2" s="3" t="inlineStr">
        <is>
          <t>Yes</t>
        </is>
      </c>
      <c r="F2" s="3" t="inlineStr">
        <is>
          <t>Yes</t>
        </is>
      </c>
      <c r="G2" s="13" t="n">
        <v>0.14</v>
      </c>
      <c r="H2" s="9" t="inlineStr">
        <is>
          <t>Devlog + GitHub</t>
        </is>
      </c>
      <c r="I2" s="14" t="inlineStr">
        <is>
          <t>https://github.com/ngocngoc000-jpg/Blockchain-01/blob/main/Session%20-01.md?plain=1</t>
        </is>
      </c>
      <c r="J2" s="3" t="inlineStr">
        <is>
          <t>ngocngoc000-jpg/Blockchain-01</t>
        </is>
      </c>
      <c r="K2" s="3" t="inlineStr">
        <is>
          <t>File link</t>
        </is>
      </c>
      <c r="L2" s="3" t="inlineStr">
        <is>
          <t>HTTP 200</t>
        </is>
      </c>
      <c r="M2" s="3" t="n">
        <v>14</v>
      </c>
      <c r="N2" s="3" t="inlineStr">
        <is>
          <t>20/10/2026 03:14</t>
        </is>
      </c>
      <c r="O2" s="3" t="inlineStr">
        <is>
          <t>20/10/2026 14:56</t>
        </is>
      </c>
      <c r="P2" s="3" t="inlineStr">
        <is>
          <t>Update Session -01.md</t>
        </is>
      </c>
      <c r="Q2" s="3" t="inlineStr"/>
    </row>
    <row r="3">
      <c r="A3" s="3" t="n">
        <v>2</v>
      </c>
      <c r="B3" s="3" t="inlineStr">
        <is>
          <t>Đỗ Duy Hiếu</t>
        </is>
      </c>
      <c r="C3" s="3" t="inlineStr">
        <is>
          <t>nomnom</t>
        </is>
      </c>
      <c r="D3" s="3" t="inlineStr">
        <is>
          <t>-Khái niệm của Blockchain. -Phân loại mô hình blockchain. -Ưu nhược điểm của Bitcoin -Ứng dụng trong đời sống của Blockchain.</t>
        </is>
      </c>
      <c r="E3" s="3" t="inlineStr">
        <is>
          <t>Yes</t>
        </is>
      </c>
      <c r="F3" s="3" t="inlineStr">
        <is>
          <t>Yes</t>
        </is>
      </c>
      <c r="G3" s="13" t="n">
        <v>0.14</v>
      </c>
      <c r="H3" s="9" t="inlineStr">
        <is>
          <t>Devlog + GitHub</t>
        </is>
      </c>
      <c r="I3" s="14" t="inlineStr">
        <is>
          <t>https://github.com/dhyeu04/dev-lock-bootcamp/blob/main/submissions/session-01.md</t>
        </is>
      </c>
      <c r="J3" s="3" t="inlineStr">
        <is>
          <t>dhyeu04/dev-lock-bootcamp</t>
        </is>
      </c>
      <c r="K3" s="3" t="inlineStr">
        <is>
          <t>File link</t>
        </is>
      </c>
      <c r="L3" s="3" t="inlineStr">
        <is>
          <t>HTTP 200</t>
        </is>
      </c>
      <c r="M3" s="3" t="n">
        <v>4</v>
      </c>
      <c r="N3" s="3" t="inlineStr">
        <is>
          <t>20/10/2026 17:27</t>
        </is>
      </c>
      <c r="O3" s="3" t="inlineStr">
        <is>
          <t>20/10/2026 17:50</t>
        </is>
      </c>
      <c r="P3" s="3" t="inlineStr">
        <is>
          <t>Update session-01.md</t>
        </is>
      </c>
      <c r="Q3" s="3" t="inlineStr"/>
    </row>
    <row r="4">
      <c r="A4" s="3" t="n">
        <v>3</v>
      </c>
      <c r="B4" s="3" t="inlineStr">
        <is>
          <t>Nguyễn An Dương</t>
        </is>
      </c>
      <c r="C4" s="3" t="inlineStr">
        <is>
          <t>An Dương</t>
        </is>
      </c>
      <c r="D4" s="3" t="inlineStr"/>
      <c r="E4" s="3" t="inlineStr">
        <is>
          <t>No</t>
        </is>
      </c>
      <c r="F4" s="3" t="inlineStr">
        <is>
          <t>No</t>
        </is>
      </c>
      <c r="G4" s="13" t="n">
        <v>0</v>
      </c>
      <c r="H4" s="15" t="inlineStr">
        <is>
          <t>No submission</t>
        </is>
      </c>
      <c r="I4" s="3" t="inlineStr"/>
      <c r="J4" s="3" t="inlineStr"/>
      <c r="K4" s="3" t="inlineStr"/>
      <c r="L4" s="3" t="inlineStr"/>
      <c r="M4" s="3" t="n">
        <v>0</v>
      </c>
      <c r="N4" s="3" t="inlineStr"/>
      <c r="O4" s="3" t="inlineStr"/>
      <c r="P4" s="3" t="inlineStr"/>
      <c r="Q4" s="3" t="inlineStr"/>
    </row>
    <row r="5">
      <c r="A5" s="3" t="n">
        <v>4</v>
      </c>
      <c r="B5" s="3" t="inlineStr">
        <is>
          <t>Lê Hoàng Linh</t>
        </is>
      </c>
      <c r="C5" s="3" t="inlineStr">
        <is>
          <t>ahhhhh3128</t>
        </is>
      </c>
      <c r="D5" s="3" t="inlineStr">
        <is>
          <t>Khái niệm</t>
        </is>
      </c>
      <c r="E5" s="3" t="inlineStr">
        <is>
          <t>Yes</t>
        </is>
      </c>
      <c r="F5" s="3" t="inlineStr">
        <is>
          <t>Yes</t>
        </is>
      </c>
      <c r="G5" s="13" t="n">
        <v>0.14</v>
      </c>
      <c r="H5" s="9" t="inlineStr">
        <is>
          <t>Devlog + GitHub</t>
        </is>
      </c>
      <c r="I5" s="14" t="inlineStr">
        <is>
          <t>https://github.com/luckylinhle110297-prog/L-Ho-ng-Linh-bootcamp/blob/main/submissions/luckylinhle110297-prog/session-01.md</t>
        </is>
      </c>
      <c r="J5" s="3" t="inlineStr">
        <is>
          <t>luckylinhle110297-prog/L-Ho-ng-Linh-bootcamp</t>
        </is>
      </c>
      <c r="K5" s="3" t="inlineStr">
        <is>
          <t>File link</t>
        </is>
      </c>
      <c r="L5" s="3" t="inlineStr">
        <is>
          <t>HTTP 200</t>
        </is>
      </c>
      <c r="M5" s="3" t="n">
        <v>2</v>
      </c>
      <c r="N5" s="3" t="inlineStr">
        <is>
          <t>20/10/2026 17:46</t>
        </is>
      </c>
      <c r="O5" s="3" t="inlineStr">
        <is>
          <t>20/10/2026 23:53</t>
        </is>
      </c>
      <c r="P5" s="3" t="inlineStr">
        <is>
          <t>Update session-01.md</t>
        </is>
      </c>
      <c r="Q5" s="3" t="inlineStr"/>
    </row>
    <row r="6">
      <c r="A6" s="3" t="n">
        <v>5</v>
      </c>
      <c r="B6" s="3" t="inlineStr">
        <is>
          <t>CHU AN BÌNH</t>
        </is>
      </c>
      <c r="C6" s="3" t="inlineStr">
        <is>
          <t>An Bình Chu</t>
        </is>
      </c>
      <c r="D6" s="3" t="inlineStr">
        <is>
          <t>-Khái niệm Blockchain. -Mô hình Blockchain tập trung/không tập trung. -Bitcoin - ứng dụng của blockchain. -Ứng dụng trong đời sống của Blockchain.</t>
        </is>
      </c>
      <c r="E6" s="3" t="inlineStr">
        <is>
          <t>Yes</t>
        </is>
      </c>
      <c r="F6" s="3" t="inlineStr">
        <is>
          <t>Yes</t>
        </is>
      </c>
      <c r="G6" s="13" t="n">
        <v>0.14</v>
      </c>
      <c r="H6" s="9" t="inlineStr">
        <is>
          <t>Devlog + GitHub</t>
        </is>
      </c>
      <c r="I6" s="14" t="inlineStr">
        <is>
          <t>https://github.com/AnBinhChu/Bu-i-1-Blockchain-Fundamentals/blob/main/submissions/AnBinhChu/session-01.md</t>
        </is>
      </c>
      <c r="J6" s="3" t="inlineStr">
        <is>
          <t>AnBinhChu/Bu-i-1-Blockchain-Fundamentals</t>
        </is>
      </c>
      <c r="K6" s="3" t="inlineStr">
        <is>
          <t>File link</t>
        </is>
      </c>
      <c r="L6" s="3" t="inlineStr">
        <is>
          <t>HTTP 200</t>
        </is>
      </c>
      <c r="M6" s="3" t="n">
        <v>4</v>
      </c>
      <c r="N6" s="3" t="inlineStr">
        <is>
          <t>18/10/2026 23:51</t>
        </is>
      </c>
      <c r="O6" s="3" t="inlineStr">
        <is>
          <t>20/10/2026 00:54</t>
        </is>
      </c>
      <c r="P6" s="3" t="inlineStr">
        <is>
          <t>Nội dung mới</t>
        </is>
      </c>
      <c r="Q6" s="3" t="inlineStr"/>
    </row>
    <row r="7">
      <c r="A7" s="3" t="n">
        <v>6</v>
      </c>
      <c r="B7" s="3" t="inlineStr">
        <is>
          <t>Vũ Trung Hiếu</t>
        </is>
      </c>
      <c r="C7" s="3" t="inlineStr">
        <is>
          <t>hiuce</t>
        </is>
      </c>
      <c r="D7" s="3" t="inlineStr">
        <is>
          <t>-Khái niệm Blockchain. -Mô hình tập trung/phi tập trung. -Ưu nhược điểm của Bitcoin. -Ethereum và smart contract. -Ứng dụng trong đời sống.</t>
        </is>
      </c>
      <c r="E7" s="3" t="inlineStr">
        <is>
          <t>Yes</t>
        </is>
      </c>
      <c r="F7" s="3" t="inlineStr">
        <is>
          <t>Yes</t>
        </is>
      </c>
      <c r="G7" s="13" t="n">
        <v>0.14</v>
      </c>
      <c r="H7" s="9" t="inlineStr">
        <is>
          <t>Devlog + GitHub</t>
        </is>
      </c>
      <c r="I7" s="14" t="inlineStr">
        <is>
          <t>https://github.com/trghieu03/bootcamp-devlog/blob/main/submissions/trghieu03/session-01.md</t>
        </is>
      </c>
      <c r="J7" s="3" t="inlineStr">
        <is>
          <t>trghieu03/bootcamp-devlog</t>
        </is>
      </c>
      <c r="K7" s="3" t="inlineStr">
        <is>
          <t>File link</t>
        </is>
      </c>
      <c r="L7" s="3" t="inlineStr">
        <is>
          <t>HTTP 200</t>
        </is>
      </c>
      <c r="M7" s="3" t="n">
        <v>2</v>
      </c>
      <c r="N7" s="3" t="inlineStr">
        <is>
          <t>21/10/2026 10:01</t>
        </is>
      </c>
      <c r="O7" s="3" t="inlineStr">
        <is>
          <t>21/10/2026 10:15</t>
        </is>
      </c>
      <c r="P7" s="3" t="inlineStr">
        <is>
          <t>[S01] update devlog - @trghieu03</t>
        </is>
      </c>
      <c r="Q7" s="3" t="inlineStr"/>
    </row>
    <row r="8">
      <c r="A8" s="3" t="n">
        <v>7</v>
      </c>
      <c r="B8" s="3" t="inlineStr">
        <is>
          <t>Chu Thị Hương</t>
        </is>
      </c>
      <c r="C8" s="3" t="inlineStr">
        <is>
          <t>_huonie._</t>
        </is>
      </c>
      <c r="D8" s="3" t="inlineStr">
        <is>
          <t>-Khái niệm Blockchain -Hiểu được sao bitcoin lại liên quan đến blockchain</t>
        </is>
      </c>
      <c r="E8" s="3" t="inlineStr">
        <is>
          <t>Yes</t>
        </is>
      </c>
      <c r="F8" s="3" t="inlineStr">
        <is>
          <t>Yes</t>
        </is>
      </c>
      <c r="G8" s="13" t="n">
        <v>0.14</v>
      </c>
      <c r="H8" s="9" t="inlineStr">
        <is>
          <t>Devlog + GitHub</t>
        </is>
      </c>
      <c r="I8" s="14" t="inlineStr">
        <is>
          <t>https://github.com/huoniie/dev-lock-bootcamp/blob/main/submissions/session-01.md</t>
        </is>
      </c>
      <c r="J8" s="3" t="inlineStr">
        <is>
          <t>huoniie/dev-lock-bootcamp</t>
        </is>
      </c>
      <c r="K8" s="3" t="inlineStr">
        <is>
          <t>File link</t>
        </is>
      </c>
      <c r="L8" s="3" t="inlineStr">
        <is>
          <t>HTTP 200</t>
        </is>
      </c>
      <c r="M8" s="3" t="n">
        <v>9</v>
      </c>
      <c r="N8" s="3" t="inlineStr">
        <is>
          <t>19/10/2026 23:43</t>
        </is>
      </c>
      <c r="O8" s="3" t="inlineStr">
        <is>
          <t>20/10/2026 14:32</t>
        </is>
      </c>
      <c r="P8" s="3" t="inlineStr">
        <is>
          <t>Update session-01.md</t>
        </is>
      </c>
      <c r="Q8" s="3" t="inlineStr"/>
    </row>
    <row r="9">
      <c r="A9" s="3" t="n">
        <v>8</v>
      </c>
      <c r="B9" s="3" t="inlineStr">
        <is>
          <t>Trần Đình Nam</t>
        </is>
      </c>
      <c r="C9" s="3" t="inlineStr">
        <is>
          <t>Trần Đình Nam</t>
        </is>
      </c>
      <c r="D9" s="3" t="inlineStr"/>
      <c r="E9" s="3" t="inlineStr">
        <is>
          <t>No</t>
        </is>
      </c>
      <c r="F9" s="3" t="inlineStr">
        <is>
          <t>No</t>
        </is>
      </c>
      <c r="G9" s="13" t="n">
        <v>0</v>
      </c>
      <c r="H9" s="15" t="inlineStr">
        <is>
          <t>No submission</t>
        </is>
      </c>
      <c r="I9" s="3" t="inlineStr"/>
      <c r="J9" s="3" t="inlineStr"/>
      <c r="K9" s="3" t="inlineStr"/>
      <c r="L9" s="3" t="inlineStr"/>
      <c r="M9" s="3" t="n">
        <v>0</v>
      </c>
      <c r="N9" s="3" t="inlineStr"/>
      <c r="O9" s="3" t="inlineStr"/>
      <c r="P9" s="3" t="inlineStr"/>
      <c r="Q9" s="3" t="inlineStr"/>
    </row>
    <row r="10">
      <c r="A10" s="3" t="n">
        <v>9</v>
      </c>
      <c r="B10" s="3" t="inlineStr">
        <is>
          <t>Nguyễn Anh Tuấn</t>
        </is>
      </c>
      <c r="C10" s="3" t="inlineStr">
        <is>
          <t>sanomanji3635</t>
        </is>
      </c>
      <c r="D10" s="3" t="inlineStr"/>
      <c r="E10" s="3" t="inlineStr">
        <is>
          <t>No</t>
        </is>
      </c>
      <c r="F10" s="3" t="inlineStr">
        <is>
          <t>No</t>
        </is>
      </c>
      <c r="G10" s="13" t="n">
        <v>0</v>
      </c>
      <c r="H10" s="15" t="inlineStr">
        <is>
          <t>No submission</t>
        </is>
      </c>
      <c r="I10" s="3" t="inlineStr"/>
      <c r="J10" s="3" t="inlineStr"/>
      <c r="K10" s="3" t="inlineStr"/>
      <c r="L10" s="3" t="inlineStr"/>
      <c r="M10" s="3" t="n">
        <v>0</v>
      </c>
      <c r="N10" s="3" t="inlineStr"/>
      <c r="O10" s="3" t="inlineStr"/>
      <c r="P10" s="3" t="inlineStr"/>
      <c r="Q10" s="3" t="inlineStr"/>
    </row>
    <row r="11">
      <c r="A11" s="3" t="n">
        <v>10</v>
      </c>
      <c r="B11" s="3" t="inlineStr">
        <is>
          <t>Nguyễn Anh Khôi</t>
        </is>
      </c>
      <c r="C11" s="3" t="inlineStr">
        <is>
          <t>_kanguye.ne__37020</t>
        </is>
      </c>
      <c r="D11" s="3" t="inlineStr"/>
      <c r="E11" s="3" t="inlineStr">
        <is>
          <t>No</t>
        </is>
      </c>
      <c r="F11" s="3" t="inlineStr">
        <is>
          <t>No</t>
        </is>
      </c>
      <c r="G11" s="13" t="n">
        <v>0</v>
      </c>
      <c r="H11" s="15" t="inlineStr">
        <is>
          <t>No submission</t>
        </is>
      </c>
      <c r="I11" s="3" t="inlineStr"/>
      <c r="J11" s="3" t="inlineStr"/>
      <c r="K11" s="3" t="inlineStr"/>
      <c r="L11" s="3" t="inlineStr"/>
      <c r="M11" s="3" t="n">
        <v>0</v>
      </c>
      <c r="N11" s="3" t="inlineStr"/>
      <c r="O11" s="3" t="inlineStr"/>
      <c r="P11" s="3" t="inlineStr"/>
      <c r="Q11" s="3" t="inlineStr"/>
    </row>
    <row r="12">
      <c r="A12" s="3" t="n">
        <v>11</v>
      </c>
      <c r="B12" s="3" t="inlineStr">
        <is>
          <t>Nguyễn Minh Hiếu</t>
        </is>
      </c>
      <c r="C12" s="3" t="inlineStr">
        <is>
          <t>Myname1sH1u</t>
        </is>
      </c>
      <c r="D12" s="3" t="inlineStr">
        <is>
          <t>-- Vì sao blockchain ra đời ? - Blockchain là gì và cơ chế hoạt động cốt lõi? - Tại sao dữ liệu trên Blockchain lại khó bị thay đổi (Tính bất biến)? - Phân loại các mô hình Blockchain - Lịch sử và 4 thế hệ Blockchain - Tài chính phi tập trung (DeFi) và ứng dụng thực tiễn</t>
        </is>
      </c>
      <c r="E12" s="3" t="inlineStr">
        <is>
          <t>Yes</t>
        </is>
      </c>
      <c r="F12" s="3" t="inlineStr">
        <is>
          <t>Yes</t>
        </is>
      </c>
      <c r="G12" s="13" t="n">
        <v>0.14</v>
      </c>
      <c r="H12" s="9" t="inlineStr">
        <is>
          <t>Devlog + GitHub</t>
        </is>
      </c>
      <c r="I12" s="14" t="inlineStr">
        <is>
          <t>https://github.com/MynameisHiu/Dev-Log-bootcamp/blob/main/submissions/MynameisHiu/session-01.md</t>
        </is>
      </c>
      <c r="J12" s="3" t="inlineStr">
        <is>
          <t>MynameisHiu/Dev-Log-bootcamp</t>
        </is>
      </c>
      <c r="K12" s="3" t="inlineStr">
        <is>
          <t>File link</t>
        </is>
      </c>
      <c r="L12" s="3" t="inlineStr">
        <is>
          <t>HTTP 200</t>
        </is>
      </c>
      <c r="M12" s="3" t="n">
        <v>2</v>
      </c>
      <c r="N12" s="3" t="inlineStr">
        <is>
          <t>20/10/2026 01:19</t>
        </is>
      </c>
      <c r="O12" s="3" t="inlineStr">
        <is>
          <t>20/10/2026 01:22</t>
        </is>
      </c>
      <c r="P12" s="3" t="inlineStr">
        <is>
          <t>Devlog - @MynameisHiu</t>
        </is>
      </c>
      <c r="Q12" s="3" t="inlineStr"/>
    </row>
    <row r="13">
      <c r="A13" s="3" t="n">
        <v>12</v>
      </c>
      <c r="B13" s="3" t="inlineStr">
        <is>
          <t>Nguyễn Anh Khoa</t>
        </is>
      </c>
      <c r="C13" s="3" t="inlineStr">
        <is>
          <t>Nguyenkhoa</t>
        </is>
      </c>
      <c r="D13" s="3" t="inlineStr"/>
      <c r="E13" s="3" t="inlineStr">
        <is>
          <t>No</t>
        </is>
      </c>
      <c r="F13" s="3" t="inlineStr">
        <is>
          <t>No</t>
        </is>
      </c>
      <c r="G13" s="13" t="n">
        <v>0</v>
      </c>
      <c r="H13" s="15" t="inlineStr">
        <is>
          <t>No submission</t>
        </is>
      </c>
      <c r="I13" s="3" t="inlineStr"/>
      <c r="J13" s="3" t="inlineStr"/>
      <c r="K13" s="3" t="inlineStr"/>
      <c r="L13" s="3" t="inlineStr"/>
      <c r="M13" s="3" t="n">
        <v>0</v>
      </c>
      <c r="N13" s="3" t="inlineStr"/>
      <c r="O13" s="3" t="inlineStr"/>
      <c r="P13" s="3" t="inlineStr"/>
      <c r="Q13" s="3" t="inlineStr"/>
    </row>
    <row r="14">
      <c r="A14" s="3" t="n">
        <v>13</v>
      </c>
      <c r="B14" s="3" t="inlineStr">
        <is>
          <t>Phạm Tuấn Kiệt</t>
        </is>
      </c>
      <c r="C14" s="3" t="inlineStr">
        <is>
          <t>ĂngKiệt</t>
        </is>
      </c>
      <c r="D14" s="3" t="inlineStr"/>
      <c r="E14" s="3" t="inlineStr">
        <is>
          <t>No</t>
        </is>
      </c>
      <c r="F14" s="3" t="inlineStr">
        <is>
          <t>No</t>
        </is>
      </c>
      <c r="G14" s="13" t="n">
        <v>0</v>
      </c>
      <c r="H14" s="15" t="inlineStr">
        <is>
          <t>No submission</t>
        </is>
      </c>
      <c r="I14" s="3" t="inlineStr"/>
      <c r="J14" s="3" t="inlineStr"/>
      <c r="K14" s="3" t="inlineStr"/>
      <c r="L14" s="3" t="inlineStr"/>
      <c r="M14" s="3" t="n">
        <v>0</v>
      </c>
      <c r="N14" s="3" t="inlineStr"/>
      <c r="O14" s="3" t="inlineStr"/>
      <c r="P14" s="3" t="inlineStr"/>
      <c r="Q14" s="3" t="inlineStr"/>
    </row>
    <row r="15">
      <c r="A15" s="3" t="n">
        <v>14</v>
      </c>
      <c r="B15" s="3" t="inlineStr">
        <is>
          <t>Thân Gia Khánh</t>
        </is>
      </c>
      <c r="C15" s="3" t="inlineStr">
        <is>
          <t>Giakhanh_1002</t>
        </is>
      </c>
      <c r="D15" s="3" t="inlineStr"/>
      <c r="E15" s="3" t="inlineStr">
        <is>
          <t>No</t>
        </is>
      </c>
      <c r="F15" s="3" t="inlineStr">
        <is>
          <t>No</t>
        </is>
      </c>
      <c r="G15" s="13" t="n">
        <v>0</v>
      </c>
      <c r="H15" s="15" t="inlineStr">
        <is>
          <t>No submission</t>
        </is>
      </c>
      <c r="I15" s="3" t="inlineStr"/>
      <c r="J15" s="3" t="inlineStr"/>
      <c r="K15" s="3" t="inlineStr"/>
      <c r="L15" s="3" t="inlineStr"/>
      <c r="M15" s="3" t="n">
        <v>0</v>
      </c>
      <c r="N15" s="3" t="inlineStr"/>
      <c r="O15" s="3" t="inlineStr"/>
      <c r="P15" s="3" t="inlineStr"/>
      <c r="Q15" s="3" t="inlineStr"/>
    </row>
    <row r="16">
      <c r="A16" s="3" t="n">
        <v>15</v>
      </c>
      <c r="B16" s="3" t="inlineStr">
        <is>
          <t>Nguyễn Xuân Đại</t>
        </is>
      </c>
      <c r="C16" s="3" t="inlineStr">
        <is>
          <t>dainx.</t>
        </is>
      </c>
      <c r="D16" s="3" t="inlineStr">
        <is>
          <t>-Hiểu bản chất &amp; khái niệm Blockchain -Phân loại các mô hình Blockchain -Đánh giá ưu/nhược điểm Bitcoin</t>
        </is>
      </c>
      <c r="E16" s="3" t="inlineStr">
        <is>
          <t>Yes</t>
        </is>
      </c>
      <c r="F16" s="3" t="inlineStr">
        <is>
          <t>Yes</t>
        </is>
      </c>
      <c r="G16" s="13" t="n">
        <v>0.14</v>
      </c>
      <c r="H16" s="9" t="inlineStr">
        <is>
          <t>Devlog + GitHub</t>
        </is>
      </c>
      <c r="I16" s="14" t="inlineStr">
        <is>
          <t>https://github.com/dainx06/dev-lock-bootcamp/blob/main/submissions/dainx06/session-01.md</t>
        </is>
      </c>
      <c r="J16" s="3" t="inlineStr">
        <is>
          <t>dainx06/dev-lock-bootcamp</t>
        </is>
      </c>
      <c r="K16" s="3" t="inlineStr">
        <is>
          <t>File link</t>
        </is>
      </c>
      <c r="L16" s="3" t="inlineStr">
        <is>
          <t>HTTP 200</t>
        </is>
      </c>
      <c r="M16" s="3" t="n">
        <v>3</v>
      </c>
      <c r="N16" s="3" t="inlineStr">
        <is>
          <t>21/10/2026 11:49</t>
        </is>
      </c>
      <c r="O16" s="3" t="inlineStr">
        <is>
          <t>21/10/2026 12:00</t>
        </is>
      </c>
      <c r="P16" s="3" t="inlineStr">
        <is>
          <t>[S01] update devlog - @dainx06</t>
        </is>
      </c>
      <c r="Q16" s="3" t="inlineStr"/>
    </row>
    <row r="17">
      <c r="A17" s="3" t="n">
        <v>16</v>
      </c>
      <c r="B17" s="3" t="inlineStr">
        <is>
          <t>Phạm Văn Giáp</t>
        </is>
      </c>
      <c r="C17" s="3" t="inlineStr">
        <is>
          <t>Giapi9</t>
        </is>
      </c>
      <c r="D17" s="3" t="inlineStr"/>
      <c r="E17" s="3" t="inlineStr">
        <is>
          <t>No</t>
        </is>
      </c>
      <c r="F17" s="3" t="inlineStr">
        <is>
          <t>No</t>
        </is>
      </c>
      <c r="G17" s="13" t="n">
        <v>0</v>
      </c>
      <c r="H17" s="15" t="inlineStr">
        <is>
          <t>No submission</t>
        </is>
      </c>
      <c r="I17" s="3" t="inlineStr"/>
      <c r="J17" s="3" t="inlineStr"/>
      <c r="K17" s="3" t="inlineStr"/>
      <c r="L17" s="3" t="inlineStr"/>
      <c r="M17" s="3" t="n">
        <v>0</v>
      </c>
      <c r="N17" s="3" t="inlineStr"/>
      <c r="O17" s="3" t="inlineStr"/>
      <c r="P17" s="3" t="inlineStr"/>
      <c r="Q17" s="3" t="inlineStr"/>
    </row>
    <row r="18">
      <c r="A18" s="3" t="n">
        <v>17</v>
      </c>
      <c r="B18" s="3" t="inlineStr">
        <is>
          <t>Bùi Minh An</t>
        </is>
      </c>
      <c r="C18" s="3" t="inlineStr">
        <is>
          <t>các anh bt rồi</t>
        </is>
      </c>
      <c r="D18" s="3" t="inlineStr"/>
      <c r="E18" s="3" t="inlineStr">
        <is>
          <t>No</t>
        </is>
      </c>
      <c r="F18" s="3" t="inlineStr">
        <is>
          <t>No</t>
        </is>
      </c>
      <c r="G18" s="13" t="n">
        <v>0</v>
      </c>
      <c r="H18" s="15" t="inlineStr">
        <is>
          <t>No submission</t>
        </is>
      </c>
      <c r="I18" s="3" t="inlineStr"/>
      <c r="J18" s="3" t="inlineStr"/>
      <c r="K18" s="3" t="inlineStr"/>
      <c r="L18" s="3" t="inlineStr"/>
      <c r="M18" s="3" t="n">
        <v>0</v>
      </c>
      <c r="N18" s="3" t="inlineStr"/>
      <c r="O18" s="3" t="inlineStr"/>
      <c r="P18" s="3" t="inlineStr"/>
      <c r="Q18" s="3" t="inlineStr"/>
    </row>
    <row r="19">
      <c r="A19" s="3" t="n">
        <v>18</v>
      </c>
      <c r="B19" s="3" t="inlineStr">
        <is>
          <t>Nguyễn Anh Tuấn</t>
        </is>
      </c>
      <c r="C19" s="3" t="inlineStr">
        <is>
          <t>sanomanji3536</t>
        </is>
      </c>
      <c r="D19" s="3" t="inlineStr">
        <is>
          <t>-Hiểu khái niệm Blockchain , lịch sử blockchain, ứng dụng của blockchain, các loại blockchain</t>
        </is>
      </c>
      <c r="E19" s="3" t="inlineStr">
        <is>
          <t>Yes</t>
        </is>
      </c>
      <c r="F19" s="3" t="inlineStr">
        <is>
          <t>Yes</t>
        </is>
      </c>
      <c r="G19" s="13" t="n">
        <v>0.14</v>
      </c>
      <c r="H19" s="9" t="inlineStr">
        <is>
          <t>Devlog + GitHub</t>
        </is>
      </c>
      <c r="I19" s="14" t="inlineStr">
        <is>
          <t>https://github.com/Tuan2K7/dev-lock-bootcamp.git</t>
        </is>
      </c>
      <c r="J19" s="3" t="inlineStr">
        <is>
          <t>Tuan2K7/dev-lock-bootcamp</t>
        </is>
      </c>
      <c r="K19" s="3" t="inlineStr">
        <is>
          <t>Repo link</t>
        </is>
      </c>
      <c r="L19" s="3" t="inlineStr"/>
      <c r="M19" s="3" t="n">
        <v>1</v>
      </c>
      <c r="N19" s="3" t="inlineStr">
        <is>
          <t>14/10/2026 20:11</t>
        </is>
      </c>
      <c r="O19" s="3" t="inlineStr">
        <is>
          <t>14/10/2026 20:11</t>
        </is>
      </c>
      <c r="P19" s="3" t="inlineStr">
        <is>
          <t>chore: add dev lock bootcamp example</t>
        </is>
      </c>
      <c r="Q19" s="3" t="inlineStr">
        <is>
          <t>Repo-level link; only the sample path examples/student-demo/session-01.md was detected.</t>
        </is>
      </c>
    </row>
    <row r="20">
      <c r="A20" s="3" t="n">
        <v>19</v>
      </c>
      <c r="B20" s="3" t="inlineStr">
        <is>
          <t>Nguyễn Phương Thảo</t>
        </is>
      </c>
      <c r="C20" s="3" t="inlineStr">
        <is>
          <t>Thảo</t>
        </is>
      </c>
      <c r="D20" s="3" t="inlineStr"/>
      <c r="E20" s="3" t="inlineStr">
        <is>
          <t>No</t>
        </is>
      </c>
      <c r="F20" s="3" t="inlineStr">
        <is>
          <t>No</t>
        </is>
      </c>
      <c r="G20" s="13" t="n">
        <v>0</v>
      </c>
      <c r="H20" s="15" t="inlineStr">
        <is>
          <t>No submission</t>
        </is>
      </c>
      <c r="I20" s="3" t="inlineStr"/>
      <c r="J20" s="3" t="inlineStr"/>
      <c r="K20" s="3" t="inlineStr"/>
      <c r="L20" s="3" t="inlineStr"/>
      <c r="M20" s="3" t="n">
        <v>0</v>
      </c>
      <c r="N20" s="3" t="inlineStr"/>
      <c r="O20" s="3" t="inlineStr"/>
      <c r="P20" s="3" t="inlineStr"/>
      <c r="Q20" s="3" t="inlineStr"/>
    </row>
    <row r="21">
      <c r="A21" s="3" t="n">
        <v>20</v>
      </c>
      <c r="B21" s="3" t="inlineStr">
        <is>
          <t>Ánh</t>
        </is>
      </c>
      <c r="C21" s="3" t="inlineStr">
        <is>
          <t>Ánh</t>
        </is>
      </c>
      <c r="D21" s="3" t="inlineStr">
        <is>
          <t>Blockchain là gì? / lịch sử của blockchain/ bitcoin/</t>
        </is>
      </c>
      <c r="E21" s="3" t="inlineStr">
        <is>
          <t>Yes</t>
        </is>
      </c>
      <c r="F21" s="3" t="inlineStr">
        <is>
          <t>No</t>
        </is>
      </c>
      <c r="G21" s="13" t="n">
        <v>0.07000000000000001</v>
      </c>
      <c r="H21" s="16" t="inlineStr">
        <is>
          <t>Devlog only</t>
        </is>
      </c>
      <c r="I21" s="3" t="inlineStr"/>
      <c r="J21" s="3" t="inlineStr"/>
      <c r="K21" s="3" t="inlineStr"/>
      <c r="L21" s="3" t="inlineStr"/>
      <c r="M21" s="3" t="n">
        <v>0</v>
      </c>
      <c r="N21" s="3" t="inlineStr"/>
      <c r="O21" s="3" t="inlineStr"/>
      <c r="P21" s="3" t="inlineStr"/>
      <c r="Q21" s="3" t="inlineStr">
        <is>
          <t>Có devlog trong Sheet nhưng chưa có link GitHub.</t>
        </is>
      </c>
    </row>
    <row r="22">
      <c r="A22" s="3" t="n">
        <v>21</v>
      </c>
      <c r="B22" s="3" t="inlineStr">
        <is>
          <t>Bảo Khanh</t>
        </is>
      </c>
      <c r="C22" s="3" t="inlineStr">
        <is>
          <t>Bảo Khanh</t>
        </is>
      </c>
      <c r="D22" s="3" t="inlineStr">
        <is>
          <t>-Khái niệm của Blockchain. -Loại blockchain. -Ưu nhược điểm của Bitcoin -Ứng dụng trong đời sống của Blockchain.</t>
        </is>
      </c>
      <c r="E22" s="3" t="inlineStr">
        <is>
          <t>Yes</t>
        </is>
      </c>
      <c r="F22" s="3" t="inlineStr">
        <is>
          <t>Yes</t>
        </is>
      </c>
      <c r="G22" s="13" t="n">
        <v>0.14</v>
      </c>
      <c r="H22" s="9" t="inlineStr">
        <is>
          <t>Devlog + GitHub</t>
        </is>
      </c>
      <c r="I22" s="14" t="inlineStr">
        <is>
          <t>https://github.com/khanhnguyeenx-vie/dev-lock-bootcamp/blob/main/submissions/khanhnguyeenx-vie/session-01.md</t>
        </is>
      </c>
      <c r="J22" s="3" t="inlineStr">
        <is>
          <t>khanhnguyeenx-vie/dev-lock-bootcamp</t>
        </is>
      </c>
      <c r="K22" s="3" t="inlineStr">
        <is>
          <t>File link</t>
        </is>
      </c>
      <c r="L22" s="3" t="inlineStr">
        <is>
          <t>HTTP 200</t>
        </is>
      </c>
      <c r="M22" s="3" t="n">
        <v>2</v>
      </c>
      <c r="N22" s="3" t="inlineStr">
        <is>
          <t>20/10/2026 23:26</t>
        </is>
      </c>
      <c r="O22" s="3" t="inlineStr">
        <is>
          <t>20/10/2026 23:31</t>
        </is>
      </c>
      <c r="P22" s="3" t="inlineStr">
        <is>
          <t>Update session title and student information</t>
        </is>
      </c>
      <c r="Q22" s="3" t="inlineStr"/>
    </row>
  </sheetData>
  <autoFilter ref="A1:Q22"/>
  <conditionalFormatting sqref="G2:G22">
    <cfRule type="colorScale" priority="1">
      <colorScale>
        <cfvo type="min"/>
        <cfvo type="percentile" val="50"/>
        <cfvo type="max"/>
        <color rgb="00FDECEC"/>
        <color rgb="00FFF4D6"/>
        <color rgb="00E6F4F1"/>
      </colorScale>
    </cfRule>
  </conditionalFormatting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12" r:id="rId7"/>
    <hyperlink xmlns:r="http://schemas.openxmlformats.org/officeDocument/2006/relationships" ref="I16" r:id="rId8"/>
    <hyperlink xmlns:r="http://schemas.openxmlformats.org/officeDocument/2006/relationships" ref="I19" r:id="rId9"/>
    <hyperlink xmlns:r="http://schemas.openxmlformats.org/officeDocument/2006/relationships" ref="I22" r:id="rId10"/>
  </hyperlinks>
  <pageMargins left="0.75" right="0.75" top="1" bottom="1" header="0.5" footer="0.5"/>
  <pageSetup fitToHeight="0" fitToWidth="1"/>
  <headerFooter>
    <oddHeader/>
    <oddFooter>&amp;CBCP1 Bootcamp | Snapshot 21/10/2026&amp;RTrang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60" customWidth="1" min="3" max="3"/>
    <col width="14" customWidth="1" min="4" max="4"/>
    <col width="13" customWidth="1" min="5" max="5"/>
    <col width="15" customWidth="1" min="6" max="6"/>
    <col width="20" customWidth="1" min="7" max="7"/>
    <col width="20" customWidth="1" min="8" max="8"/>
    <col width="56" customWidth="1" min="9" max="9"/>
  </cols>
  <sheetData>
    <row r="1">
      <c r="A1" s="12" t="inlineStr">
        <is>
          <t>Học viên</t>
        </is>
      </c>
      <c r="B1" s="12" t="inlineStr">
        <is>
          <t>Repo</t>
        </is>
      </c>
      <c r="C1" s="12" t="inlineStr">
        <is>
          <t>Link trong Sheet</t>
        </is>
      </c>
      <c r="D1" s="12" t="inlineStr">
        <is>
          <t>Scope</t>
        </is>
      </c>
      <c r="E1" s="12" t="inlineStr">
        <is>
          <t>File status</t>
        </is>
      </c>
      <c r="F1" s="12" t="inlineStr">
        <is>
          <t>Commit quan sát</t>
        </is>
      </c>
      <c r="G1" s="12" t="inlineStr">
        <is>
          <t>Commit đầu (GMT+7)</t>
        </is>
      </c>
      <c r="H1" s="12" t="inlineStr">
        <is>
          <t>Commit mới nhất (GMT+7)</t>
        </is>
      </c>
      <c r="I1" s="12" t="inlineStr">
        <is>
          <t>Ghi chú kiểm tra</t>
        </is>
      </c>
    </row>
    <row r="2">
      <c r="A2" s="3" t="inlineStr">
        <is>
          <t>Lê Ngọc</t>
        </is>
      </c>
      <c r="B2" s="3" t="inlineStr">
        <is>
          <t>ngocngoc000-jpg/Blockchain-01</t>
        </is>
      </c>
      <c r="C2" s="14" t="inlineStr">
        <is>
          <t>https://github.com/ngocngoc000-jpg/Blockchain-01/blob/main/Session%20-01.md?plain=1</t>
        </is>
      </c>
      <c r="D2" s="3" t="inlineStr">
        <is>
          <t>File link</t>
        </is>
      </c>
      <c r="E2" s="3" t="inlineStr">
        <is>
          <t>HTTP 200</t>
        </is>
      </c>
      <c r="F2" s="3" t="n">
        <v>14</v>
      </c>
      <c r="G2" s="3" t="inlineStr">
        <is>
          <t>20/10/2026 03:14</t>
        </is>
      </c>
      <c r="H2" s="3" t="inlineStr">
        <is>
          <t>20/10/2026 14:56</t>
        </is>
      </c>
      <c r="I2" s="3" t="inlineStr">
        <is>
          <t>Link/repo được kiểm tra qua GitHub API.</t>
        </is>
      </c>
    </row>
    <row r="3">
      <c r="A3" s="3" t="inlineStr">
        <is>
          <t>Đỗ Duy Hiếu</t>
        </is>
      </c>
      <c r="B3" s="3" t="inlineStr">
        <is>
          <t>dhyeu04/dev-lock-bootcamp</t>
        </is>
      </c>
      <c r="C3" s="14" t="inlineStr">
        <is>
          <t>https://github.com/dhyeu04/dev-lock-bootcamp/blob/main/submissions/session-01.md</t>
        </is>
      </c>
      <c r="D3" s="3" t="inlineStr">
        <is>
          <t>File link</t>
        </is>
      </c>
      <c r="E3" s="3" t="inlineStr">
        <is>
          <t>HTTP 200</t>
        </is>
      </c>
      <c r="F3" s="3" t="n">
        <v>4</v>
      </c>
      <c r="G3" s="3" t="inlineStr">
        <is>
          <t>20/10/2026 17:27</t>
        </is>
      </c>
      <c r="H3" s="3" t="inlineStr">
        <is>
          <t>20/10/2026 17:50</t>
        </is>
      </c>
      <c r="I3" s="3" t="inlineStr">
        <is>
          <t>Link/repo được kiểm tra qua GitHub API.</t>
        </is>
      </c>
    </row>
    <row r="4">
      <c r="A4" s="3" t="inlineStr">
        <is>
          <t>Lê Hoàng Linh</t>
        </is>
      </c>
      <c r="B4" s="3" t="inlineStr">
        <is>
          <t>luckylinhle110297-prog/L-Ho-ng-Linh-bootcamp</t>
        </is>
      </c>
      <c r="C4" s="14" t="inlineStr">
        <is>
          <t>https://github.com/luckylinhle110297-prog/L-Ho-ng-Linh-bootcamp/blob/main/submissions/luckylinhle110297-prog/session-01.md</t>
        </is>
      </c>
      <c r="D4" s="3" t="inlineStr">
        <is>
          <t>File link</t>
        </is>
      </c>
      <c r="E4" s="3" t="inlineStr">
        <is>
          <t>HTTP 200</t>
        </is>
      </c>
      <c r="F4" s="3" t="n">
        <v>2</v>
      </c>
      <c r="G4" s="3" t="inlineStr">
        <is>
          <t>20/10/2026 17:46</t>
        </is>
      </c>
      <c r="H4" s="3" t="inlineStr">
        <is>
          <t>20/10/2026 23:53</t>
        </is>
      </c>
      <c r="I4" s="3" t="inlineStr">
        <is>
          <t>Link/repo được kiểm tra qua GitHub API.</t>
        </is>
      </c>
    </row>
    <row r="5">
      <c r="A5" s="3" t="inlineStr">
        <is>
          <t>CHU AN BÌNH</t>
        </is>
      </c>
      <c r="B5" s="3" t="inlineStr">
        <is>
          <t>AnBinhChu/Bu-i-1-Blockchain-Fundamentals</t>
        </is>
      </c>
      <c r="C5" s="14" t="inlineStr">
        <is>
          <t>https://github.com/AnBinhChu/Bu-i-1-Blockchain-Fundamentals/blob/main/submissions/AnBinhChu/session-01.md</t>
        </is>
      </c>
      <c r="D5" s="3" t="inlineStr">
        <is>
          <t>File link</t>
        </is>
      </c>
      <c r="E5" s="3" t="inlineStr">
        <is>
          <t>HTTP 200</t>
        </is>
      </c>
      <c r="F5" s="3" t="n">
        <v>4</v>
      </c>
      <c r="G5" s="3" t="inlineStr">
        <is>
          <t>18/10/2026 23:51</t>
        </is>
      </c>
      <c r="H5" s="3" t="inlineStr">
        <is>
          <t>20/10/2026 00:54</t>
        </is>
      </c>
      <c r="I5" s="3" t="inlineStr">
        <is>
          <t>Link/repo được kiểm tra qua GitHub API.</t>
        </is>
      </c>
    </row>
    <row r="6">
      <c r="A6" s="3" t="inlineStr">
        <is>
          <t>Vũ Trung Hiếu</t>
        </is>
      </c>
      <c r="B6" s="3" t="inlineStr">
        <is>
          <t>trghieu03/bootcamp-devlog</t>
        </is>
      </c>
      <c r="C6" s="14" t="inlineStr">
        <is>
          <t>https://github.com/trghieu03/bootcamp-devlog/blob/main/submissions/trghieu03/session-01.md</t>
        </is>
      </c>
      <c r="D6" s="3" t="inlineStr">
        <is>
          <t>File link</t>
        </is>
      </c>
      <c r="E6" s="3" t="inlineStr">
        <is>
          <t>HTTP 200</t>
        </is>
      </c>
      <c r="F6" s="3" t="n">
        <v>2</v>
      </c>
      <c r="G6" s="3" t="inlineStr">
        <is>
          <t>21/10/2026 10:01</t>
        </is>
      </c>
      <c r="H6" s="3" t="inlineStr">
        <is>
          <t>21/10/2026 10:15</t>
        </is>
      </c>
      <c r="I6" s="3" t="inlineStr">
        <is>
          <t>Link/repo được kiểm tra qua GitHub API.</t>
        </is>
      </c>
    </row>
    <row r="7">
      <c r="A7" s="3" t="inlineStr">
        <is>
          <t>Chu Thị Hương</t>
        </is>
      </c>
      <c r="B7" s="3" t="inlineStr">
        <is>
          <t>huoniie/dev-lock-bootcamp</t>
        </is>
      </c>
      <c r="C7" s="14" t="inlineStr">
        <is>
          <t>https://github.com/huoniie/dev-lock-bootcamp/blob/main/submissions/session-01.md</t>
        </is>
      </c>
      <c r="D7" s="3" t="inlineStr">
        <is>
          <t>File link</t>
        </is>
      </c>
      <c r="E7" s="3" t="inlineStr">
        <is>
          <t>HTTP 200</t>
        </is>
      </c>
      <c r="F7" s="3" t="n">
        <v>9</v>
      </c>
      <c r="G7" s="3" t="inlineStr">
        <is>
          <t>19/10/2026 23:43</t>
        </is>
      </c>
      <c r="H7" s="3" t="inlineStr">
        <is>
          <t>20/10/2026 14:32</t>
        </is>
      </c>
      <c r="I7" s="3" t="inlineStr">
        <is>
          <t>Link/repo được kiểm tra qua GitHub API.</t>
        </is>
      </c>
    </row>
    <row r="8">
      <c r="A8" s="3" t="inlineStr">
        <is>
          <t>Nguyễn Minh Hiếu</t>
        </is>
      </c>
      <c r="B8" s="3" t="inlineStr">
        <is>
          <t>MynameisHiu/Dev-Log-bootcamp</t>
        </is>
      </c>
      <c r="C8" s="14" t="inlineStr">
        <is>
          <t>https://github.com/MynameisHiu/Dev-Log-bootcamp/blob/main/submissions/MynameisHiu/session-01.md</t>
        </is>
      </c>
      <c r="D8" s="3" t="inlineStr">
        <is>
          <t>File link</t>
        </is>
      </c>
      <c r="E8" s="3" t="inlineStr">
        <is>
          <t>HTTP 200</t>
        </is>
      </c>
      <c r="F8" s="3" t="n">
        <v>2</v>
      </c>
      <c r="G8" s="3" t="inlineStr">
        <is>
          <t>20/10/2026 01:19</t>
        </is>
      </c>
      <c r="H8" s="3" t="inlineStr">
        <is>
          <t>20/10/2026 01:22</t>
        </is>
      </c>
      <c r="I8" s="3" t="inlineStr">
        <is>
          <t>Link/repo được kiểm tra qua GitHub API.</t>
        </is>
      </c>
    </row>
    <row r="9">
      <c r="A9" s="3" t="inlineStr">
        <is>
          <t>Nguyễn Xuân Đại</t>
        </is>
      </c>
      <c r="B9" s="3" t="inlineStr">
        <is>
          <t>dainx06/dev-lock-bootcamp</t>
        </is>
      </c>
      <c r="C9" s="14" t="inlineStr">
        <is>
          <t>https://github.com/dainx06/dev-lock-bootcamp/blob/main/submissions/dainx06/session-01.md</t>
        </is>
      </c>
      <c r="D9" s="3" t="inlineStr">
        <is>
          <t>File link</t>
        </is>
      </c>
      <c r="E9" s="3" t="inlineStr">
        <is>
          <t>HTTP 200</t>
        </is>
      </c>
      <c r="F9" s="3" t="n">
        <v>3</v>
      </c>
      <c r="G9" s="3" t="inlineStr">
        <is>
          <t>21/10/2026 11:49</t>
        </is>
      </c>
      <c r="H9" s="3" t="inlineStr">
        <is>
          <t>21/10/2026 12:00</t>
        </is>
      </c>
      <c r="I9" s="3" t="inlineStr">
        <is>
          <t>Link/repo được kiểm tra qua GitHub API.</t>
        </is>
      </c>
    </row>
    <row r="10">
      <c r="A10" s="3" t="inlineStr">
        <is>
          <t>Nguyễn Anh Tuấn</t>
        </is>
      </c>
      <c r="B10" s="3" t="inlineStr">
        <is>
          <t>Tuan2K7/dev-lock-bootcamp</t>
        </is>
      </c>
      <c r="C10" s="14" t="inlineStr">
        <is>
          <t>https://github.com/Tuan2K7/dev-lock-bootcamp.git</t>
        </is>
      </c>
      <c r="D10" s="3" t="inlineStr">
        <is>
          <t>Repo link</t>
        </is>
      </c>
      <c r="E10" s="3" t="inlineStr"/>
      <c r="F10" s="3" t="n">
        <v>1</v>
      </c>
      <c r="G10" s="3" t="inlineStr">
        <is>
          <t>14/10/2026 20:11</t>
        </is>
      </c>
      <c r="H10" s="3" t="inlineStr">
        <is>
          <t>14/10/2026 20:11</t>
        </is>
      </c>
      <c r="I10" s="3" t="inlineStr">
        <is>
          <t>Repo-level link; only the sample path examples/student-demo/session-01.md was detected.</t>
        </is>
      </c>
    </row>
    <row r="11">
      <c r="A11" s="3" t="inlineStr">
        <is>
          <t>Bảo Khanh</t>
        </is>
      </c>
      <c r="B11" s="3" t="inlineStr">
        <is>
          <t>khanhnguyeenx-vie/dev-lock-bootcamp</t>
        </is>
      </c>
      <c r="C11" s="14" t="inlineStr">
        <is>
          <t>https://github.com/khanhnguyeenx-vie/dev-lock-bootcamp/blob/main/submissions/khanhnguyeenx-vie/session-01.md</t>
        </is>
      </c>
      <c r="D11" s="3" t="inlineStr">
        <is>
          <t>File link</t>
        </is>
      </c>
      <c r="E11" s="3" t="inlineStr">
        <is>
          <t>HTTP 200</t>
        </is>
      </c>
      <c r="F11" s="3" t="n">
        <v>2</v>
      </c>
      <c r="G11" s="3" t="inlineStr">
        <is>
          <t>20/10/2026 23:26</t>
        </is>
      </c>
      <c r="H11" s="3" t="inlineStr">
        <is>
          <t>20/10/2026 23:31</t>
        </is>
      </c>
      <c r="I11" s="3" t="inlineStr">
        <is>
          <t>Link/repo được kiểm tra qua GitHub API.</t>
        </is>
      </c>
    </row>
  </sheetData>
  <autoFilter ref="A1:I1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5" right="0.75" top="1" bottom="1" header="0.5" footer="0.5"/>
  <pageSetup fitToHeight="0" fitToWidth="1"/>
  <headerFooter>
    <oddHeader/>
    <oddFooter>&amp;CBCP1 Bootcamp | Snapshot 21/10/2026&amp;RTrang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2" t="inlineStr">
        <is>
          <t>Nguồn / phương pháp</t>
        </is>
      </c>
      <c r="B1" s="12" t="inlineStr">
        <is>
          <t>Chi tiết</t>
        </is>
      </c>
    </row>
    <row r="2">
      <c r="A2" s="3" t="inlineStr">
        <is>
          <t>Google Sheet</t>
        </is>
      </c>
      <c r="B2" s="14" t="inlineStr">
        <is>
          <t>https://docs.google.com/spreadsheets/d/1HKSoMEhSCYqL6Py5u5LB1rrh9yxlXRT-vgjRrb2HBW8/edit?gid=1890794766</t>
        </is>
      </c>
    </row>
    <row r="3">
      <c r="A3" s="3" t="inlineStr">
        <is>
          <t>Snapshot</t>
        </is>
      </c>
      <c r="B3" s="3" t="inlineStr">
        <is>
          <t>21/10/2026; tải bản CSV/XLSX từ Google Sheet.</t>
        </is>
      </c>
    </row>
    <row r="4">
      <c r="A4" s="3" t="inlineStr">
        <is>
          <t>GitHub links</t>
        </is>
      </c>
      <c r="B4" s="3" t="inlineStr">
        <is>
          <t>Các URL GitHub được ghi trong Sheet; repo/file metadata và commit history được kiểm tra tại thời điểm tạo báo cáo.</t>
        </is>
      </c>
    </row>
    <row r="5">
      <c r="A5" s="3" t="inlineStr">
        <is>
          <t>Repo tổng được yêu cầu</t>
        </is>
      </c>
      <c r="B5" s="14" t="inlineStr">
        <is>
          <t>https://github.com/Blockchain-Pioneer-Student/BCP1-Devlog-Summarize — không resolve được (404 tại snapshot), nên không dùng làm nguồn số liệu.</t>
        </is>
      </c>
    </row>
    <row r="6">
      <c r="A6" s="3" t="inlineStr">
        <is>
          <t>Quy ước</t>
        </is>
      </c>
      <c r="B6" s="3" t="inlineStr">
        <is>
          <t>Devlog/GitHub là trạng thái nộp trong Sheet; commit quan sát được không phải thước đo chất lượng bài.</t>
        </is>
      </c>
    </row>
    <row r="7">
      <c r="A7" s="3" t="inlineStr">
        <is>
          <t>Giới hạn</t>
        </is>
      </c>
      <c r="B7" s="3" t="inlineStr">
        <is>
          <t>Sheet mới có dữ liệu submission cho Buổi 1; Buổi 2–7 được ghi là chưa có dữ liệu, không kết luận là không có hoạt động.</t>
        </is>
      </c>
    </row>
    <row r="8">
      <c r="A8" s="3" t="inlineStr">
        <is>
          <t>Bảo mật</t>
        </is>
      </c>
      <c r="B8" s="3" t="inlineStr">
        <is>
          <t>Không ghi thông tin đăng nhập/SSH/token vào báo cáo hoặc file đầu ra.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5" r:id="rId2"/>
  </hyperlinks>
  <pageMargins left="0.75" right="0.75" top="1" bottom="1" header="0.5" footer="0.5"/>
  <pageSetup fitToHeight="0" fitToWidth="1"/>
  <headerFooter>
    <oddHeader/>
    <oddFooter>&amp;CBCP1 Bootcamp | Snapshot 21/10/2026&amp;RTrang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2026-10-21T06:55:26Z</dcterms:created>
  <dcterms:modified xsi:type="dcterms:W3CDTF">2026-10-21T06:55:26Z</dcterms:modified>
</cp:coreProperties>
</file>